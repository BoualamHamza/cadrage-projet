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othèses" sheetId="1" state="visible" r:id="rId1"/>
    <sheet xmlns:r="http://schemas.openxmlformats.org/officeDocument/2006/relationships" name="Coût développement" sheetId="2" state="visible" r:id="rId2"/>
    <sheet xmlns:r="http://schemas.openxmlformats.org/officeDocument/2006/relationships" name="Coûts récurrents" sheetId="3" state="visible" r:id="rId3"/>
    <sheet xmlns:r="http://schemas.openxmlformats.org/officeDocument/2006/relationships" name="Rentabilit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€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color rgb="00FFFFFF"/>
      <sz val="11"/>
    </font>
    <font>
      <i val="1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2" fillId="4" borderId="1" pivotButton="0" quotePrefix="0" xfId="0"/>
    <xf numFmtId="0" fontId="0" fillId="4" borderId="1" pivotButton="0" quotePrefix="0" xfId="0"/>
    <xf numFmtId="0" fontId="4" fillId="0" borderId="0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164" fontId="0" fillId="0" borderId="1" pivotButton="0" quotePrefix="0" xfId="0"/>
    <xf numFmtId="0" fontId="2" fillId="4" borderId="1" applyAlignment="1" pivotButton="0" quotePrefix="0" xfId="0">
      <alignment horizontal="left" vertical="top" wrapText="1"/>
    </xf>
    <xf numFmtId="164" fontId="2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Rentabilité — coûts vs gains cumulés</a:t>
            </a:r>
          </a:p>
        </rich>
      </tx>
    </title>
    <plotArea>
      <lineChart>
        <grouping val="standard"/>
        <ser>
          <idx val="0"/>
          <order val="0"/>
          <tx>
            <strRef>
              <f>'Rentabilité'!A3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'Rentabilité'!$B$1:$H$1</f>
            </numRef>
          </cat>
          <val>
            <numRef>
              <f>'Rentabilité'!$B$3:$H$3</f>
            </numRef>
          </val>
        </ser>
        <ser>
          <idx val="1"/>
          <order val="1"/>
          <tx>
            <strRef>
              <f>'Rentabilité'!A4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'Rentabilité'!$B$1:$H$1</f>
            </numRef>
          </cat>
          <val>
            <numRef>
              <f>'Rentabilité'!$B$4:$H$4</f>
            </numRef>
          </val>
        </ser>
        <ser>
          <idx val="2"/>
          <order val="2"/>
          <tx>
            <strRef>
              <f>'Rentabilité'!A5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'Rentabilité'!$B$1:$H$1</f>
            </numRef>
          </cat>
          <val>
            <numRef>
              <f>'Rentabilité'!$B$5:$H$5</f>
            </numRef>
          </val>
        </ser>
        <ser>
          <idx val="3"/>
          <order val="3"/>
          <tx>
            <strRef>
              <f>'Rentabilité'!A6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'Rentabilité'!$B$1:$H$1</f>
            </numRef>
          </cat>
          <val>
            <numRef>
              <f>'Rentabilité'!$B$6:$H$6</f>
            </numRef>
          </val>
        </ser>
        <dLbls>
          <showVal val="0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40" customWidth="1" min="3" max="3"/>
  </cols>
  <sheetData>
    <row r="1">
      <c r="A1" s="1" t="inlineStr">
        <is>
          <t>Hypothèses générales</t>
        </is>
      </c>
      <c r="B1" s="1" t="n"/>
      <c r="C1" s="1" t="n"/>
    </row>
    <row r="2">
      <c r="A2" t="inlineStr">
        <is>
          <t>Durée d'un sprint (semaines)</t>
        </is>
      </c>
      <c r="B2" t="inlineStr">
        <is>
          <t>2 (Sprint 3 : 3)</t>
        </is>
      </c>
      <c r="C2" t="inlineStr">
        <is>
          <t>Sprint 3 étendu à 3 semaines : 60 j de charge ne tiennent pas sur 10 j ouvrés (2 sem.) sans mobiliser 6 personnes à temps plein en simultané</t>
        </is>
      </c>
    </row>
    <row r="3">
      <c r="A3" t="inlineStr">
        <is>
          <t>Nombre de sprints</t>
        </is>
      </c>
      <c r="B3" t="n">
        <v>6</v>
      </c>
      <c r="C3" t="inlineStr">
        <is>
          <t>Couvre l'ensemble du backlog priorisé</t>
        </is>
      </c>
    </row>
    <row r="4">
      <c r="A4" t="inlineStr">
        <is>
          <t>Durée totale du projet (semaines)</t>
        </is>
      </c>
      <c r="B4" t="n">
        <v>13</v>
      </c>
      <c r="C4" t="inlineStr">
        <is>
          <t>5 sprints × 2 semaines + Sprint 3 × 3 semaines</t>
        </is>
      </c>
    </row>
    <row r="5">
      <c r="A5" t="inlineStr">
        <is>
          <t>Taux de maintenance annuel</t>
        </is>
      </c>
      <c r="B5" t="n">
        <v>0.15</v>
      </c>
      <c r="C5" t="inlineStr">
        <is>
          <t>15% du coût de développement initial (règle PO)</t>
        </is>
      </c>
    </row>
    <row r="6">
      <c r="A6" t="inlineStr">
        <is>
          <t>Horizon d'analyse rentabilité (années)</t>
        </is>
      </c>
      <c r="B6" t="n">
        <v>5</v>
      </c>
      <c r="C6" t="inlineStr">
        <is>
          <t>Standard projet IA</t>
        </is>
      </c>
    </row>
    <row r="7">
      <c r="A7" s="1" t="inlineStr">
        <is>
          <t>TJM par profil (€/jour)</t>
        </is>
      </c>
      <c r="B7" s="1" t="n"/>
      <c r="C7" s="1" t="n"/>
    </row>
    <row r="8">
      <c r="A8" t="inlineStr">
        <is>
          <t>PO / Product Manager</t>
        </is>
      </c>
      <c r="B8" t="n">
        <v>600</v>
      </c>
      <c r="C8" t="inlineStr">
        <is>
          <t>TJM marché France 2026</t>
        </is>
      </c>
    </row>
    <row r="9">
      <c r="A9" t="inlineStr">
        <is>
          <t>Tech Lead</t>
        </is>
      </c>
      <c r="B9" t="n">
        <v>800</v>
      </c>
      <c r="C9" t="inlineStr">
        <is>
          <t>TJM marché France 2026</t>
        </is>
      </c>
    </row>
    <row r="10">
      <c r="A10" t="inlineStr">
        <is>
          <t>Data Scientist junior</t>
        </is>
      </c>
      <c r="B10" t="n">
        <v>500</v>
      </c>
      <c r="C10" t="inlineStr">
        <is>
          <t>TJM marché France 2026</t>
        </is>
      </c>
    </row>
    <row r="11">
      <c r="A11" t="inlineStr">
        <is>
          <t>Data Scientist senior (sous-traitant)</t>
        </is>
      </c>
      <c r="B11" t="n">
        <v>1000</v>
      </c>
      <c r="C11" t="inlineStr">
        <is>
          <t>TJM marché France 2026</t>
        </is>
      </c>
    </row>
    <row r="12">
      <c r="A12" t="inlineStr">
        <is>
          <t>ML / Computer Vision Engineer</t>
        </is>
      </c>
      <c r="B12" t="n">
        <v>700</v>
      </c>
      <c r="C12" t="inlineStr">
        <is>
          <t>TJM marché France 2026</t>
        </is>
      </c>
    </row>
    <row r="13">
      <c r="A13" t="inlineStr">
        <is>
          <t>Développeur mobile</t>
        </is>
      </c>
      <c r="B13" t="n">
        <v>600</v>
      </c>
      <c r="C13" t="inlineStr">
        <is>
          <t>TJM marché France 2026</t>
        </is>
      </c>
    </row>
    <row r="14">
      <c r="A14" t="inlineStr">
        <is>
          <t>DevOps / Cloud Azure</t>
        </is>
      </c>
      <c r="B14" t="n">
        <v>700</v>
      </c>
      <c r="C14" t="inlineStr">
        <is>
          <t>TJM marché France 2026</t>
        </is>
      </c>
    </row>
    <row r="15">
      <c r="A15" t="inlineStr">
        <is>
          <t>UX / UI Designer</t>
        </is>
      </c>
      <c r="B15" t="n">
        <v>550</v>
      </c>
      <c r="C15" t="inlineStr">
        <is>
          <t>TJM marché France 2026</t>
        </is>
      </c>
    </row>
    <row r="16">
      <c r="A16" t="inlineStr">
        <is>
          <t>QA / Testeur</t>
        </is>
      </c>
      <c r="B16" t="n">
        <v>500</v>
      </c>
      <c r="C16" t="inlineStr">
        <is>
          <t>TJM marché France 2026</t>
        </is>
      </c>
    </row>
    <row r="17">
      <c r="A17" s="1" t="inlineStr">
        <is>
          <t>Coûts Azure</t>
        </is>
      </c>
      <c r="B17" s="1" t="n"/>
      <c r="C17" s="1" t="n"/>
    </row>
    <row r="18">
      <c r="A18" t="inlineStr">
        <is>
          <t>Stockage Blob (jeux d'entraînement, images)</t>
        </is>
      </c>
      <c r="B18" t="n">
        <v>1200</v>
      </c>
      <c r="C18" t="inlineStr">
        <is>
          <t>Phase entraînement, ~3 mois</t>
        </is>
      </c>
    </row>
    <row r="19">
      <c r="A19" t="inlineStr">
        <is>
          <t>Azure Machine Learning (compute GPU entraînement, NC6s v3)</t>
        </is>
      </c>
      <c r="B19" t="n">
        <v>8000</v>
      </c>
      <c r="C19" t="inlineStr">
        <is>
          <t>≈ 2000h GPU cumulées sur 3 mois (usage quasi continu : itérations + hyperparameter tuning). NC6s v3 ≈ 3,8 €/h — le SKU 'NC6' d'origine est retiré du catalogue Azure</t>
        </is>
      </c>
    </row>
    <row r="20">
      <c r="A20" t="inlineStr">
        <is>
          <t>Azure Custom Vision / Cognitive Services (annotation)</t>
        </is>
      </c>
      <c r="B20" t="n">
        <v>1500</v>
      </c>
      <c r="C20" t="inlineStr">
        <is>
          <t>Pour les itérations rapides</t>
        </is>
      </c>
    </row>
    <row r="21">
      <c r="A21" t="inlineStr">
        <is>
          <t>Environnements de dev / pré-prod</t>
        </is>
      </c>
      <c r="B21" t="n">
        <v>2000</v>
      </c>
      <c r="C21" t="inlineStr">
        <is>
          <t>App Service + DB managée</t>
        </is>
      </c>
    </row>
    <row r="22">
      <c r="A22" t="inlineStr">
        <is>
          <t>Sécurité &amp; monitoring (Microsoft Defender for Cloud)</t>
        </is>
      </c>
      <c r="B22" t="n">
        <v>1300</v>
      </c>
      <c r="C22" t="inlineStr">
        <is>
          <t>Sur la phase projet, sans SIEM Sentinel (coût prohibitif pour ce périmètre, cf. onglet prod)</t>
        </is>
      </c>
    </row>
    <row r="23">
      <c r="A23" s="2" t="inlineStr">
        <is>
          <t>Total Azure initial (€)</t>
        </is>
      </c>
      <c r="B23" s="2" t="n">
        <v>14000</v>
      </c>
    </row>
    <row r="24">
      <c r="A24" s="1" t="inlineStr">
        <is>
          <t>Coûts Azure annuels (production)</t>
        </is>
      </c>
      <c r="B24" s="1" t="n"/>
      <c r="C24" s="1" t="n"/>
    </row>
    <row r="25">
      <c r="A25" t="inlineStr">
        <is>
          <t>Hébergement API recommandation (Azure App Service, auto-scaling)</t>
        </is>
      </c>
      <c r="B25" t="n">
        <v>12000</v>
      </c>
      <c r="C25" t="inlineStr">
        <is>
          <t>Variable — charge moyenne à 50k utilisateurs actifs (An 1)</t>
        </is>
      </c>
    </row>
    <row r="26">
      <c r="A26" t="inlineStr">
        <is>
          <t>Inférence ML (Azure ML Endpoint, CPU + cache embeddings, scale-to-zero)</t>
        </is>
      </c>
      <c r="B26" t="n">
        <v>14000</v>
      </c>
      <c r="C26" t="inlineStr">
        <is>
          <t>Variable — ≈ 1M requêtes/mois à 50k utilisateurs actifs (An 1). Suppose une inférence CPU (embeddings pré-calculés) ; si un modèle GPU temps réel s'avère nécessaire, ce poste serait à revoir nettement à la hausse (un seul GPU NC6s v3 24/7 coûte à lui seul ≈ 31 000€/an)</t>
        </is>
      </c>
    </row>
    <row r="27">
      <c r="A27" t="inlineStr">
        <is>
          <t>Stockage Blob production (photos utilisateurs)</t>
        </is>
      </c>
      <c r="B27" t="n">
        <v>6000</v>
      </c>
      <c r="C27" t="inlineStr">
        <is>
          <t>Variable — chiffré, redondance ZRS, à 50k utilisateurs actifs (An 1)</t>
        </is>
      </c>
    </row>
    <row r="28">
      <c r="A28" t="inlineStr">
        <is>
          <t>Base de données managée (Azure SQL / Cosmos DB)</t>
        </is>
      </c>
      <c r="B28" t="n">
        <v>5000</v>
      </c>
      <c r="C28" t="inlineStr">
        <is>
          <t>Fixe — compte utilisateur + préférences</t>
        </is>
      </c>
    </row>
    <row r="29">
      <c r="A29" t="inlineStr">
        <is>
          <t>Sécurité, sauvegarde, monitoring (Defender + Azure Monitor)</t>
        </is>
      </c>
      <c r="B29" t="n">
        <v>2000</v>
      </c>
      <c r="C29" t="inlineStr">
        <is>
          <t>Fixe — sans SIEM Sentinel : à 5,59 $/Go analysé, Sentinel dépasserait ce budget avec quelques dizaines de Go/mois ingérés</t>
        </is>
      </c>
    </row>
    <row r="30">
      <c r="A30" s="2" t="inlineStr">
        <is>
          <t>Total Azure annuel (€, base An 1 à 50k utilisateurs)</t>
        </is>
      </c>
      <c r="B30" s="2" t="n">
        <v>39000</v>
      </c>
    </row>
    <row r="31">
      <c r="A31" t="inlineStr">
        <is>
          <t>Note : les postes variables sont indexés sur √(utilisateurs actifs / 50 000) d'une année sur l'autre</t>
        </is>
      </c>
      <c r="B31" t="inlineStr"/>
      <c r="C31" t="inlineStr">
        <is>
          <t>Hypothèse d'économies d'échelle — évite une croissance linéaire irréaliste des coûts cloud ; détail par année dans l'onglet Rentabilité</t>
        </is>
      </c>
    </row>
    <row r="32">
      <c r="A32" s="1" t="inlineStr">
        <is>
          <t>Hypothèses gains marketing</t>
        </is>
      </c>
      <c r="B32" s="1" t="n"/>
      <c r="C32" s="1" t="n"/>
    </row>
    <row r="33">
      <c r="A33" t="inlineStr">
        <is>
          <t>Nb utilisateurs actifs an 1</t>
        </is>
      </c>
      <c r="B33" t="n">
        <v>50000</v>
      </c>
      <c r="C33" t="inlineStr">
        <is>
          <t>Lancement progressif</t>
        </is>
      </c>
    </row>
    <row r="34">
      <c r="A34" t="inlineStr">
        <is>
          <t>Nb utilisateurs actifs an 2</t>
        </is>
      </c>
      <c r="B34" t="n">
        <v>150000</v>
      </c>
      <c r="C34" t="inlineStr">
        <is>
          <t>Marketing &amp; bouche à oreille</t>
        </is>
      </c>
    </row>
    <row r="35">
      <c r="A35" t="inlineStr">
        <is>
          <t>Nb utilisateurs actifs an 3</t>
        </is>
      </c>
      <c r="B35" t="n">
        <v>280000</v>
      </c>
      <c r="C35" t="inlineStr">
        <is>
          <t>Croissance maintenue</t>
        </is>
      </c>
    </row>
    <row r="36">
      <c r="A36" t="inlineStr">
        <is>
          <t>Nb utilisateurs actifs an 4</t>
        </is>
      </c>
      <c r="B36" t="n">
        <v>380000</v>
      </c>
      <c r="C36" t="inlineStr">
        <is>
          <t>Plafonnement</t>
        </is>
      </c>
    </row>
    <row r="37">
      <c r="A37" t="inlineStr">
        <is>
          <t>Nb utilisateurs actifs an 5</t>
        </is>
      </c>
      <c r="B37" t="n">
        <v>450000</v>
      </c>
      <c r="C37" t="inlineStr">
        <is>
          <t>Maturité</t>
        </is>
      </c>
    </row>
    <row r="38">
      <c r="A38" t="inlineStr">
        <is>
          <t>Taux de conversion recommandation → achat</t>
        </is>
      </c>
      <c r="B38" t="n">
        <v>0.08</v>
      </c>
      <c r="C38" t="inlineStr">
        <is>
          <t>Part des utilisateurs actifs générant réellement un panier additionnel via la reco (aligné avec le KPI cible ≥5%, cf. présentation COMEX) — un utilisateur actif n'est pas un acheteur</t>
        </is>
      </c>
    </row>
    <row r="39">
      <c r="A39" t="inlineStr">
        <is>
          <t>Panier additionnel moyen / utilisateur convertissant / an (€)</t>
        </is>
      </c>
      <c r="B39" t="n">
        <v>25</v>
      </c>
      <c r="C39" t="inlineStr">
        <is>
          <t>Upsell estimé par le marketing, appliqué uniquement aux utilisateurs qui convertissent</t>
        </is>
      </c>
    </row>
    <row r="40">
      <c r="A40" t="inlineStr">
        <is>
          <t>Marge brute retail moyenne</t>
        </is>
      </c>
      <c r="B40" t="n">
        <v>0.45</v>
      </c>
      <c r="C40" t="inlineStr">
        <is>
          <t>Pour convertir le CA additionnel en gain net comparable aux coûts (le panier ci-dessus est du CA, pas du profit)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6" customWidth="1" min="4" max="4"/>
  </cols>
  <sheetData>
    <row r="1">
      <c r="A1" s="3" t="inlineStr">
        <is>
          <t>Profil</t>
        </is>
      </c>
      <c r="B1" s="3" t="inlineStr">
        <is>
          <t>TJM (€)</t>
        </is>
      </c>
      <c r="C1" s="3" t="inlineStr">
        <is>
          <t>Jours total</t>
        </is>
      </c>
      <c r="D1" s="3" t="inlineStr">
        <is>
          <t>Coût (€)</t>
        </is>
      </c>
    </row>
    <row r="2">
      <c r="A2" s="4" t="inlineStr">
        <is>
          <t>PO / Product Manager</t>
        </is>
      </c>
      <c r="B2" s="5" t="n">
        <v>600</v>
      </c>
      <c r="C2" s="5" t="n">
        <v>12.45</v>
      </c>
      <c r="D2" s="5" t="n">
        <v>7470</v>
      </c>
    </row>
    <row r="3">
      <c r="A3" s="4" t="inlineStr">
        <is>
          <t>Tech Lead</t>
        </is>
      </c>
      <c r="B3" s="5" t="n">
        <v>800</v>
      </c>
      <c r="C3" s="5" t="n">
        <v>12.1</v>
      </c>
      <c r="D3" s="5" t="n">
        <v>9680</v>
      </c>
    </row>
    <row r="4">
      <c r="A4" s="4" t="inlineStr">
        <is>
          <t>Data Scientist junior</t>
        </is>
      </c>
      <c r="B4" s="5" t="n">
        <v>500</v>
      </c>
      <c r="C4" s="5" t="n">
        <v>23.9</v>
      </c>
      <c r="D4" s="5" t="n">
        <v>11950</v>
      </c>
    </row>
    <row r="5">
      <c r="A5" s="4" t="inlineStr">
        <is>
          <t>Data Scientist senior (sous-traitant)</t>
        </is>
      </c>
      <c r="B5" s="5" t="n">
        <v>1000</v>
      </c>
      <c r="C5" s="5" t="n">
        <v>24.25</v>
      </c>
      <c r="D5" s="5" t="n">
        <v>24250</v>
      </c>
    </row>
    <row r="6">
      <c r="A6" s="4" t="inlineStr">
        <is>
          <t>ML / Computer Vision Engineer</t>
        </is>
      </c>
      <c r="B6" s="5" t="n">
        <v>700</v>
      </c>
      <c r="C6" s="5" t="n">
        <v>27.8</v>
      </c>
      <c r="D6" s="5" t="n">
        <v>19460</v>
      </c>
    </row>
    <row r="7">
      <c r="A7" s="4" t="inlineStr">
        <is>
          <t>Développeur mobile</t>
        </is>
      </c>
      <c r="B7" s="5" t="n">
        <v>600</v>
      </c>
      <c r="C7" s="5" t="n">
        <v>49.2</v>
      </c>
      <c r="D7" s="5" t="n">
        <v>29520</v>
      </c>
    </row>
    <row r="8">
      <c r="A8" s="4" t="inlineStr">
        <is>
          <t>DevOps / Cloud Azure</t>
        </is>
      </c>
      <c r="B8" s="5" t="n">
        <v>700</v>
      </c>
      <c r="C8" s="5" t="n">
        <v>17</v>
      </c>
      <c r="D8" s="5" t="n">
        <v>11900</v>
      </c>
    </row>
    <row r="9">
      <c r="A9" s="4" t="inlineStr">
        <is>
          <t>UX / UI Designer</t>
        </is>
      </c>
      <c r="B9" s="5" t="n">
        <v>550</v>
      </c>
      <c r="C9" s="5" t="n">
        <v>8</v>
      </c>
      <c r="D9" s="5" t="n">
        <v>4400</v>
      </c>
    </row>
    <row r="10">
      <c r="A10" s="4" t="inlineStr">
        <is>
          <t>QA / Testeur</t>
        </is>
      </c>
      <c r="B10" s="5" t="n">
        <v>500</v>
      </c>
      <c r="C10" s="5" t="n">
        <v>17.3</v>
      </c>
      <c r="D10" s="5" t="n">
        <v>8650</v>
      </c>
    </row>
    <row r="11">
      <c r="A11" s="6" t="inlineStr">
        <is>
          <t>TOTAL équipe</t>
        </is>
      </c>
      <c r="B11" s="7" t="n"/>
      <c r="C11" s="6" t="n">
        <v>192</v>
      </c>
      <c r="D11" s="6" t="n">
        <v>127280</v>
      </c>
    </row>
    <row r="13">
      <c r="A13" s="6" t="inlineStr">
        <is>
          <t>Coût RH développement (€)</t>
        </is>
      </c>
      <c r="B13" s="6" t="inlineStr"/>
      <c r="C13" s="6" t="inlineStr"/>
      <c r="D13" s="6" t="n">
        <v>127280</v>
      </c>
    </row>
    <row r="14">
      <c r="A14" s="6" t="inlineStr">
        <is>
          <t>+ Coût Azure initial (€)</t>
        </is>
      </c>
      <c r="B14" s="6" t="inlineStr"/>
      <c r="C14" s="6" t="inlineStr"/>
      <c r="D14" s="6" t="n">
        <v>14000</v>
      </c>
    </row>
    <row r="15">
      <c r="A15" s="6">
        <f> COÛT INITIAL PROJET (€)</f>
        <v/>
      </c>
      <c r="B15" s="6" t="inlineStr"/>
      <c r="C15" s="6" t="inlineStr"/>
      <c r="D15" s="6" t="n">
        <v>141280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22" customWidth="1" min="3" max="3"/>
  </cols>
  <sheetData>
    <row r="1">
      <c r="A1" s="3" t="inlineStr">
        <is>
          <t>Poste</t>
        </is>
      </c>
      <c r="B1" s="3" t="inlineStr">
        <is>
          <t>Montant annuel (€, base An 1)</t>
        </is>
      </c>
      <c r="C1" s="3" t="inlineStr">
        <is>
          <t>Type</t>
        </is>
      </c>
    </row>
    <row r="2">
      <c r="A2" s="4" t="inlineStr">
        <is>
          <t>Maintenance applicative (15% du coût RH initial)</t>
        </is>
      </c>
      <c r="B2" s="5" t="n">
        <v>19092</v>
      </c>
      <c r="C2" s="5" t="inlineStr">
        <is>
          <t>Fixe</t>
        </is>
      </c>
    </row>
    <row r="3">
      <c r="A3" s="4" t="inlineStr">
        <is>
          <t>Infrastructure Azure — hébergement/inférence/stockage</t>
        </is>
      </c>
      <c r="B3" s="5" t="n">
        <v>32000</v>
      </c>
      <c r="C3" s="5" t="inlineStr">
        <is>
          <t>Variable (usagers)</t>
        </is>
      </c>
    </row>
    <row r="4">
      <c r="A4" s="4" t="inlineStr">
        <is>
          <t>Infrastructure Azure — BDD, sécurité &amp; monitoring</t>
        </is>
      </c>
      <c r="B4" s="5" t="n">
        <v>7000</v>
      </c>
      <c r="C4" s="5" t="inlineStr">
        <is>
          <t>Fixe</t>
        </is>
      </c>
    </row>
    <row r="5">
      <c r="A5" s="4" t="inlineStr">
        <is>
          <t>Ré-entraînement modèles (compute + DS junior 20j)</t>
        </is>
      </c>
      <c r="B5" s="5" t="n">
        <v>18000</v>
      </c>
      <c r="C5" s="5" t="inlineStr">
        <is>
          <t>Fixe</t>
        </is>
      </c>
    </row>
    <row r="6">
      <c r="A6" s="4" t="inlineStr">
        <is>
          <t>DPO / RGPD - veille et audits</t>
        </is>
      </c>
      <c r="B6" s="5" t="n">
        <v>6000</v>
      </c>
      <c r="C6" s="5" t="inlineStr">
        <is>
          <t>Fixe</t>
        </is>
      </c>
    </row>
    <row r="7">
      <c r="A7" s="6" t="inlineStr">
        <is>
          <t>TOTAL annuel (€, base An 1 à 50k utilisateurs)</t>
        </is>
      </c>
      <c r="B7" s="6" t="n">
        <v>82092</v>
      </c>
      <c r="C7" s="7" t="n"/>
    </row>
    <row r="9" ht="30" customHeight="1">
      <c r="A9" s="8" t="inlineStr">
        <is>
          <t>Le poste 'Variable (usagers)' croît avec le nombre d'utilisateurs actifs (facteur √(utilisateurs / 50 000)) — voir la progression année par année dans l'onglet Rentabilité.</t>
        </is>
      </c>
    </row>
  </sheetData>
  <mergeCells count="1">
    <mergeCell ref="A9:C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" t="inlineStr">
        <is>
          <t>Poste (€)</t>
        </is>
      </c>
      <c r="B1" s="3" t="inlineStr">
        <is>
          <t>Année 0</t>
        </is>
      </c>
      <c r="C1" s="3" t="inlineStr">
        <is>
          <t>Année 1</t>
        </is>
      </c>
      <c r="D1" s="3" t="inlineStr">
        <is>
          <t>Année 2</t>
        </is>
      </c>
      <c r="E1" s="3" t="inlineStr">
        <is>
          <t>Année 3</t>
        </is>
      </c>
      <c r="F1" s="3" t="inlineStr">
        <is>
          <t>Année 4</t>
        </is>
      </c>
      <c r="G1" s="3" t="inlineStr">
        <is>
          <t>Année 5</t>
        </is>
      </c>
    </row>
    <row r="2">
      <c r="A2" s="9" t="inlineStr">
        <is>
          <t>Coûts (initial / annuels)</t>
        </is>
      </c>
      <c r="B2" s="10" t="n">
        <v>141280</v>
      </c>
      <c r="C2" s="10" t="n">
        <v>82092</v>
      </c>
      <c r="D2" s="10" t="n">
        <v>105518</v>
      </c>
      <c r="E2" s="10" t="n">
        <v>125818</v>
      </c>
      <c r="F2" s="10" t="n">
        <v>138310</v>
      </c>
      <c r="G2" s="10" t="n">
        <v>146092</v>
      </c>
    </row>
    <row r="3">
      <c r="A3" s="9" t="inlineStr">
        <is>
          <t>Coûts cumulés</t>
        </is>
      </c>
      <c r="B3" s="10">
        <f>B2</f>
        <v/>
      </c>
      <c r="C3" s="10">
        <f>B3+C2</f>
        <v/>
      </c>
      <c r="D3" s="10">
        <f>C3+D2</f>
        <v/>
      </c>
      <c r="E3" s="10">
        <f>D3+E2</f>
        <v/>
      </c>
      <c r="F3" s="10">
        <f>E3+F2</f>
        <v/>
      </c>
      <c r="G3" s="10">
        <f>F3+G2</f>
        <v/>
      </c>
    </row>
    <row r="4">
      <c r="A4" s="9" t="inlineStr">
        <is>
          <t>Gains annuels</t>
        </is>
      </c>
      <c r="B4" s="10" t="n">
        <v>0</v>
      </c>
      <c r="C4" s="10" t="n">
        <v>45000</v>
      </c>
      <c r="D4" s="10" t="n">
        <v>135000</v>
      </c>
      <c r="E4" s="10" t="n">
        <v>252000</v>
      </c>
      <c r="F4" s="10" t="n">
        <v>342000</v>
      </c>
      <c r="G4" s="10" t="n">
        <v>405000</v>
      </c>
    </row>
    <row r="5">
      <c r="A5" s="9" t="inlineStr">
        <is>
          <t>Gains cumulés</t>
        </is>
      </c>
      <c r="B5" s="10">
        <f>B4</f>
        <v/>
      </c>
      <c r="C5" s="10">
        <f>B5+C4</f>
        <v/>
      </c>
      <c r="D5" s="10">
        <f>C5+D4</f>
        <v/>
      </c>
      <c r="E5" s="10">
        <f>D5+E4</f>
        <v/>
      </c>
      <c r="F5" s="10">
        <f>E5+F4</f>
        <v/>
      </c>
      <c r="G5" s="10">
        <f>F5+G4</f>
        <v/>
      </c>
    </row>
    <row r="6">
      <c r="A6" s="11" t="inlineStr">
        <is>
          <t>Solde cumulé (gains - coûts)</t>
        </is>
      </c>
      <c r="B6" s="12">
        <f>B5-B3</f>
        <v/>
      </c>
      <c r="C6" s="12">
        <f>C5-C3</f>
        <v/>
      </c>
      <c r="D6" s="12">
        <f>D5-D3</f>
        <v/>
      </c>
      <c r="E6" s="12">
        <f>E5-E3</f>
        <v/>
      </c>
      <c r="F6" s="12">
        <f>F5-F3</f>
        <v/>
      </c>
      <c r="G6" s="12">
        <f>G5-G3</f>
        <v/>
      </c>
    </row>
    <row r="28">
      <c r="A28" s="13" t="inlineStr">
        <is>
          <t>Lecture : le projet devient rentable l'année où le 'Solde cumulé' devient positif.</t>
        </is>
      </c>
    </row>
    <row r="29">
      <c r="A29" s="13" t="inlineStr">
        <is>
          <t>Gains = utilisateurs actifs × taux de conversion (8%) × panier additionnel (25€) × marge brute (45%) — pas 100% des utilisateurs actifs, et en gain net, pas en CA brut.</t>
        </is>
      </c>
    </row>
    <row r="30">
      <c r="A30" s="13" t="inlineStr">
        <is>
          <t>Coûts annuels = socle fixe + coûts Azure variables indexés sur √(utilisateurs actifs / 50 000).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2026-07-10T20:00:34Z</dcterms:created>
  <dcterms:modified xmlns:dcterms="http://purl.org/dc/terms/" xmlns:xsi="http://www.w3.org/2001/XMLSchema-instance" xsi:type="dcterms:W3CDTF">2026-07-10T20:00:34Z</dcterms:modified>
</cp:coreProperties>
</file>